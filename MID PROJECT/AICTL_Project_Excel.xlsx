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OneDrive\Desktop\aict mid term project\"/>
    </mc:Choice>
  </mc:AlternateContent>
  <xr:revisionPtr revIDLastSave="0" documentId="13_ncr:1_{683289A1-2F53-40D6-9F06-BA60691EDB68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Raw_Data" sheetId="1" r:id="rId1"/>
    <sheet name="satification count" sheetId="5" r:id="rId2"/>
    <sheet name="play status" sheetId="6" r:id="rId3"/>
    <sheet name="Analysis" sheetId="2" r:id="rId4"/>
    <sheet name="Gender_Chart" sheetId="3" r:id="rId5"/>
    <sheet name="Sports_Chart" sheetId="4" r:id="rId6"/>
  </sheets>
  <calcPr calcId="191029"/>
  <pivotCaches>
    <pivotCache cacheId="10" r:id="rId7"/>
    <pivotCache cacheId="26" r:id="rId8"/>
  </pivotCaches>
</workbook>
</file>

<file path=xl/calcChain.xml><?xml version="1.0" encoding="utf-8"?>
<calcChain xmlns="http://schemas.openxmlformats.org/spreadsheetml/2006/main">
  <c r="B9" i="4" l="1"/>
  <c r="B8" i="4"/>
  <c r="B7" i="4"/>
  <c r="B6" i="4"/>
  <c r="B5" i="4"/>
  <c r="B4" i="4"/>
  <c r="B3" i="4"/>
  <c r="B2" i="4"/>
  <c r="C9" i="2"/>
  <c r="C8" i="2"/>
  <c r="C7" i="2"/>
  <c r="C6" i="2"/>
  <c r="C5" i="2"/>
  <c r="C4" i="2"/>
  <c r="B3" i="3" s="1"/>
  <c r="C3" i="2"/>
  <c r="B2" i="3" s="1"/>
  <c r="C2" i="2"/>
</calcChain>
</file>

<file path=xl/sharedStrings.xml><?xml version="1.0" encoding="utf-8"?>
<sst xmlns="http://schemas.openxmlformats.org/spreadsheetml/2006/main" count="182" uniqueCount="39">
  <si>
    <t>Gender</t>
  </si>
  <si>
    <t>Play Status</t>
  </si>
  <si>
    <t>Sport</t>
  </si>
  <si>
    <t>Satisfaction</t>
  </si>
  <si>
    <t>Male</t>
  </si>
  <si>
    <t>Yes</t>
  </si>
  <si>
    <t>Badminton</t>
  </si>
  <si>
    <t>Satisfied</t>
  </si>
  <si>
    <t>Occasionally</t>
  </si>
  <si>
    <t>Cricket</t>
  </si>
  <si>
    <t>No</t>
  </si>
  <si>
    <t>Football</t>
  </si>
  <si>
    <t>Female</t>
  </si>
  <si>
    <t>Unsatisfied</t>
  </si>
  <si>
    <t>Everything</t>
  </si>
  <si>
    <t>Soccer</t>
  </si>
  <si>
    <t>Karate</t>
  </si>
  <si>
    <t>None</t>
  </si>
  <si>
    <t>Singing</t>
  </si>
  <si>
    <t>Metric</t>
  </si>
  <si>
    <t>Formula</t>
  </si>
  <si>
    <t>Result</t>
  </si>
  <si>
    <t>Total Students</t>
  </si>
  <si>
    <t>COUNTA(Raw_Data!A2:A200)</t>
  </si>
  <si>
    <t>Male Count</t>
  </si>
  <si>
    <t>COUNTIF(Raw_Data!A2:A200,"Male")</t>
  </si>
  <si>
    <t>Female Count</t>
  </si>
  <si>
    <t>COUNTIF(Raw_Data!A2:A200,"Female")</t>
  </si>
  <si>
    <t>Play Yes</t>
  </si>
  <si>
    <t>COUNTIF(Raw_Data!B2:B200,"Yes")</t>
  </si>
  <si>
    <t>Play Occasionally</t>
  </si>
  <si>
    <t>COUNTIF(Raw_Data!B2:B200,"Occasionally")</t>
  </si>
  <si>
    <t>Play No</t>
  </si>
  <si>
    <t>COUNTIF(Raw_Data!B2:B200,"No")</t>
  </si>
  <si>
    <t>COUNTIF(Raw_Data!D2:D200,"Satisfied")</t>
  </si>
  <si>
    <t>COUNTIF(Raw_Data!D2:D200,"Unsatisfied")</t>
  </si>
  <si>
    <t>Count</t>
  </si>
  <si>
    <t>Count of Satisfaction</t>
  </si>
  <si>
    <t>Count of Play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</si>
</sst>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[AICTL_Project_Excel.xlsx]satification count!PivotTable5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'satification count'!$B$3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'satification count'!$A$4:$A$5</c:f>
              <c:strCache>
                <c:ptCount val="2"/>
                <c:pt idx="0">
                  <c:v>Satisfied</c:v>
                </c:pt>
                <c:pt idx="1">
                  <c:v>Unsatisfied</c:v>
                </c:pt>
              </c:strCache>
            </c:strRef>
          </c:cat>
          <c:val>
            <c:numRef>
              <c:f>'satification count'!$B$4:$B$5</c:f>
              <c:numCache>
                <c:formatCode>General</c:formatCode>
                <c:ptCount val="2"/>
                <c:pt idx="0">
                  <c:v>19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2-4A9D-9032-39FEB3132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62812096"/>
        <c:axId val="1062814016"/>
      </c:barChart>
      <c:catAx>
        <c:axId val="106281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14016"/>
        <c:crosses val="autoZero"/>
        <c:auto val="1"/>
        <c:lblAlgn val="ctr"/>
        <c:lblOffset val="100"/>
        <c:noMultiLvlLbl val="0"/>
      </c:catAx>
      <c:valAx>
        <c:axId val="1062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1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[AICTL_Project_Excel.xlsx]play status!PivotTable14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Play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'play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'play status'!$A$4:$A$6</c:f>
              <c:strCache>
                <c:ptCount val="3"/>
                <c:pt idx="0">
                  <c:v>No</c:v>
                </c:pt>
                <c:pt idx="1">
                  <c:v>Occasionally</c:v>
                </c:pt>
                <c:pt idx="2">
                  <c:v>Yes</c:v>
                </c:pt>
              </c:strCache>
            </c:strRef>
          </c:cat>
          <c:val>
            <c:numRef>
              <c:f>'play status'!$B$4:$B$6</c:f>
              <c:numCache>
                <c:formatCode>General</c:formatCode>
                <c:ptCount val="3"/>
                <c:pt idx="0">
                  <c:v>5</c:v>
                </c:pt>
                <c:pt idx="1">
                  <c:v>13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4-439C-8A15-9B692DB84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834176"/>
        <c:axId val="1062835616"/>
      </c:barChart>
      <c:catAx>
        <c:axId val="106283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35616"/>
        <c:crosses val="autoZero"/>
        <c:auto val="1"/>
        <c:lblAlgn val="ctr"/>
        <c:lblOffset val="100"/>
        <c:noMultiLvlLbl val="0"/>
      </c:catAx>
      <c:valAx>
        <c:axId val="10628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3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Male vs Female Ratio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Gender_Chart!$B$1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Gender_Chart!$A$2:$A$3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Gender_Chart!$B$2:$B$3</c:f>
              <c:numCache>
                <c:formatCode>General</c:formatCode>
                <c:ptCount val="2"/>
                <c:pt idx="0">
                  <c:v>23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2-46F8-8DAF-49DD05844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Sports Preference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3302037037037032E-2"/>
          <c:y val="0.18851296296296294"/>
          <c:w val="0.80158499999999999"/>
          <c:h val="0.55170333333333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Sports_Chart!$B$1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Sports_Chart!$A$2:$A$9</c:f>
              <c:strCache>
                <c:ptCount val="8"/>
                <c:pt idx="0">
                  <c:v>Cricket</c:v>
                </c:pt>
                <c:pt idx="1">
                  <c:v>Badminton</c:v>
                </c:pt>
                <c:pt idx="2">
                  <c:v>Football</c:v>
                </c:pt>
                <c:pt idx="3">
                  <c:v>Karate</c:v>
                </c:pt>
                <c:pt idx="4">
                  <c:v>Soccer</c:v>
                </c:pt>
                <c:pt idx="5">
                  <c:v>Everything</c:v>
                </c:pt>
                <c:pt idx="6">
                  <c:v>None</c:v>
                </c:pt>
                <c:pt idx="7">
                  <c:v>Singing</c:v>
                </c:pt>
              </c:strCache>
            </c:strRef>
          </c:cat>
          <c:val>
            <c:numRef>
              <c:f>Sports_Chart!$B$2:$B$9</c:f>
              <c:numCache>
                <c:formatCode>General</c:formatCode>
                <c:ptCount val="8"/>
                <c:pt idx="0">
                  <c:v>17</c:v>
                </c:pt>
                <c:pt idx="1">
                  <c:v>9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1-4F52-A736-482C5F822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3</xdr:row>
      <xdr:rowOff>185737</xdr:rowOff>
    </xdr:from>
    <xdr:to>
      <xdr:col>12</xdr:col>
      <xdr:colOff>257175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6E713-452B-42CB-A634-22F3F6865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3</xdr:row>
      <xdr:rowOff>185737</xdr:rowOff>
    </xdr:from>
    <xdr:to>
      <xdr:col>9</xdr:col>
      <xdr:colOff>514350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5C779-27FB-0E13-EC93-49487F805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571500</xdr:colOff>
      <xdr:row>1</xdr:row>
      <xdr:rowOff>57150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1</xdr:row>
      <xdr:rowOff>95250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9.471711226855" createdVersion="8" refreshedVersion="8" minRefreshableVersion="3" recordCount="34" xr:uid="{0C0E37D0-ACAC-4BB2-B9D1-85B4BDD8E374}">
  <cacheSource type="worksheet">
    <worksheetSource ref="A1:D35" sheet="Raw_Data"/>
  </cacheSource>
  <cacheFields count="4">
    <cacheField name="Gender" numFmtId="0">
      <sharedItems/>
    </cacheField>
    <cacheField name="Play Status" numFmtId="0">
      <sharedItems/>
    </cacheField>
    <cacheField name="Sport" numFmtId="0">
      <sharedItems count="8">
        <s v="Badminton"/>
        <s v="Cricket"/>
        <s v="Football"/>
        <s v="Everything"/>
        <s v="Soccer"/>
        <s v="Karate"/>
        <s v="None"/>
        <s v="Singing"/>
      </sharedItems>
    </cacheField>
    <cacheField name="Satisfaction" numFmtId="0">
      <sharedItems count="2">
        <s v="Satisfied"/>
        <s v="Unsatisfi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9.474169444446" createdVersion="8" refreshedVersion="8" minRefreshableVersion="3" recordCount="34" xr:uid="{9951CB25-35A9-43D7-9B1D-F29FC155123B}">
  <cacheSource type="worksheet">
    <worksheetSource ref="A1:D35" sheet="Raw_Data"/>
  </cacheSource>
  <cacheFields count="4">
    <cacheField name="Gender" numFmtId="0">
      <sharedItems/>
    </cacheField>
    <cacheField name="Play Status" numFmtId="0">
      <sharedItems count="3">
        <s v="Yes"/>
        <s v="Occasionally"/>
        <s v="No"/>
      </sharedItems>
    </cacheField>
    <cacheField name="Sport" numFmtId="0">
      <sharedItems/>
    </cacheField>
    <cacheField name="Satisfac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Male"/>
    <s v="Yes"/>
    <x v="0"/>
    <x v="0"/>
  </r>
  <r>
    <s v="Male"/>
    <s v="Yes"/>
    <x v="0"/>
    <x v="0"/>
  </r>
  <r>
    <s v="Male"/>
    <s v="Occasionally"/>
    <x v="1"/>
    <x v="0"/>
  </r>
  <r>
    <s v="Male"/>
    <s v="No"/>
    <x v="2"/>
    <x v="0"/>
  </r>
  <r>
    <s v="Male"/>
    <s v="Yes"/>
    <x v="1"/>
    <x v="0"/>
  </r>
  <r>
    <s v="Female"/>
    <s v="Occasionally"/>
    <x v="0"/>
    <x v="1"/>
  </r>
  <r>
    <s v="Male"/>
    <s v="Occasionally"/>
    <x v="1"/>
    <x v="1"/>
  </r>
  <r>
    <s v="Male"/>
    <s v="Yes"/>
    <x v="1"/>
    <x v="1"/>
  </r>
  <r>
    <s v="Male"/>
    <s v="Occasionally"/>
    <x v="1"/>
    <x v="1"/>
  </r>
  <r>
    <s v="Male"/>
    <s v="Yes"/>
    <x v="1"/>
    <x v="0"/>
  </r>
  <r>
    <s v="Male"/>
    <s v="Yes"/>
    <x v="1"/>
    <x v="0"/>
  </r>
  <r>
    <s v="Male"/>
    <s v="Yes"/>
    <x v="1"/>
    <x v="1"/>
  </r>
  <r>
    <s v="Male"/>
    <s v="Yes"/>
    <x v="0"/>
    <x v="0"/>
  </r>
  <r>
    <s v="Male"/>
    <s v="Yes"/>
    <x v="1"/>
    <x v="0"/>
  </r>
  <r>
    <s v="Male"/>
    <s v="Yes"/>
    <x v="2"/>
    <x v="0"/>
  </r>
  <r>
    <s v="Female"/>
    <s v="Yes"/>
    <x v="3"/>
    <x v="1"/>
  </r>
  <r>
    <s v="Male"/>
    <s v="Occasionally"/>
    <x v="1"/>
    <x v="0"/>
  </r>
  <r>
    <s v="Male"/>
    <s v="Occasionally"/>
    <x v="4"/>
    <x v="1"/>
  </r>
  <r>
    <s v="Female"/>
    <s v="No"/>
    <x v="5"/>
    <x v="0"/>
  </r>
  <r>
    <s v="Female"/>
    <s v="Occasionally"/>
    <x v="1"/>
    <x v="0"/>
  </r>
  <r>
    <s v="Male"/>
    <s v="Yes"/>
    <x v="1"/>
    <x v="0"/>
  </r>
  <r>
    <s v="Male"/>
    <s v="Yes"/>
    <x v="0"/>
    <x v="1"/>
  </r>
  <r>
    <s v="Female"/>
    <s v="Occasionally"/>
    <x v="1"/>
    <x v="0"/>
  </r>
  <r>
    <s v="Female"/>
    <s v="Occasionally"/>
    <x v="6"/>
    <x v="1"/>
  </r>
  <r>
    <s v="Female"/>
    <s v="Yes"/>
    <x v="1"/>
    <x v="0"/>
  </r>
  <r>
    <s v="Female"/>
    <s v="No"/>
    <x v="6"/>
    <x v="1"/>
  </r>
  <r>
    <s v="Male"/>
    <s v="No"/>
    <x v="1"/>
    <x v="1"/>
  </r>
  <r>
    <s v="Male"/>
    <s v="Occasionally"/>
    <x v="0"/>
    <x v="0"/>
  </r>
  <r>
    <s v="Female"/>
    <s v="Occasionally"/>
    <x v="0"/>
    <x v="0"/>
  </r>
  <r>
    <s v="Male"/>
    <s v="Occasionally"/>
    <x v="1"/>
    <x v="1"/>
  </r>
  <r>
    <s v="Male"/>
    <s v="Yes"/>
    <x v="0"/>
    <x v="1"/>
  </r>
  <r>
    <s v="Female"/>
    <s v="Occasionally"/>
    <x v="7"/>
    <x v="1"/>
  </r>
  <r>
    <s v="Male"/>
    <s v="Yes"/>
    <x v="1"/>
    <x v="1"/>
  </r>
  <r>
    <s v="Female"/>
    <s v="No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Male"/>
    <x v="0"/>
    <s v="Badminton"/>
    <s v="Satisfied"/>
  </r>
  <r>
    <s v="Male"/>
    <x v="0"/>
    <s v="Badminton"/>
    <s v="Satisfied"/>
  </r>
  <r>
    <s v="Male"/>
    <x v="1"/>
    <s v="Cricket"/>
    <s v="Satisfied"/>
  </r>
  <r>
    <s v="Male"/>
    <x v="2"/>
    <s v="Football"/>
    <s v="Satisfied"/>
  </r>
  <r>
    <s v="Male"/>
    <x v="0"/>
    <s v="Cricket"/>
    <s v="Satisfied"/>
  </r>
  <r>
    <s v="Female"/>
    <x v="1"/>
    <s v="Badminton"/>
    <s v="Unsatisfied"/>
  </r>
  <r>
    <s v="Male"/>
    <x v="1"/>
    <s v="Cricket"/>
    <s v="Unsatisfied"/>
  </r>
  <r>
    <s v="Male"/>
    <x v="0"/>
    <s v="Cricket"/>
    <s v="Unsatisfied"/>
  </r>
  <r>
    <s v="Male"/>
    <x v="1"/>
    <s v="Cricket"/>
    <s v="Unsatisfied"/>
  </r>
  <r>
    <s v="Male"/>
    <x v="0"/>
    <s v="Cricket"/>
    <s v="Satisfied"/>
  </r>
  <r>
    <s v="Male"/>
    <x v="0"/>
    <s v="Cricket"/>
    <s v="Satisfied"/>
  </r>
  <r>
    <s v="Male"/>
    <x v="0"/>
    <s v="Cricket"/>
    <s v="Unsatisfied"/>
  </r>
  <r>
    <s v="Male"/>
    <x v="0"/>
    <s v="Badminton"/>
    <s v="Satisfied"/>
  </r>
  <r>
    <s v="Male"/>
    <x v="0"/>
    <s v="Cricket"/>
    <s v="Satisfied"/>
  </r>
  <r>
    <s v="Male"/>
    <x v="0"/>
    <s v="Football"/>
    <s v="Satisfied"/>
  </r>
  <r>
    <s v="Female"/>
    <x v="0"/>
    <s v="Everything"/>
    <s v="Unsatisfied"/>
  </r>
  <r>
    <s v="Male"/>
    <x v="1"/>
    <s v="Cricket"/>
    <s v="Satisfied"/>
  </r>
  <r>
    <s v="Male"/>
    <x v="1"/>
    <s v="Soccer"/>
    <s v="Unsatisfied"/>
  </r>
  <r>
    <s v="Female"/>
    <x v="2"/>
    <s v="Karate"/>
    <s v="Satisfied"/>
  </r>
  <r>
    <s v="Female"/>
    <x v="1"/>
    <s v="Cricket"/>
    <s v="Satisfied"/>
  </r>
  <r>
    <s v="Male"/>
    <x v="0"/>
    <s v="Cricket"/>
    <s v="Satisfied"/>
  </r>
  <r>
    <s v="Male"/>
    <x v="0"/>
    <s v="Badminton"/>
    <s v="Unsatisfied"/>
  </r>
  <r>
    <s v="Female"/>
    <x v="1"/>
    <s v="Cricket"/>
    <s v="Satisfied"/>
  </r>
  <r>
    <s v="Female"/>
    <x v="1"/>
    <s v="None"/>
    <s v="Unsatisfied"/>
  </r>
  <r>
    <s v="Female"/>
    <x v="0"/>
    <s v="Cricket"/>
    <s v="Satisfied"/>
  </r>
  <r>
    <s v="Female"/>
    <x v="2"/>
    <s v="None"/>
    <s v="Unsatisfied"/>
  </r>
  <r>
    <s v="Male"/>
    <x v="2"/>
    <s v="Cricket"/>
    <s v="Unsatisfied"/>
  </r>
  <r>
    <s v="Male"/>
    <x v="1"/>
    <s v="Badminton"/>
    <s v="Satisfied"/>
  </r>
  <r>
    <s v="Female"/>
    <x v="1"/>
    <s v="Badminton"/>
    <s v="Satisfied"/>
  </r>
  <r>
    <s v="Male"/>
    <x v="1"/>
    <s v="Cricket"/>
    <s v="Unsatisfied"/>
  </r>
  <r>
    <s v="Male"/>
    <x v="0"/>
    <s v="Badminton"/>
    <s v="Unsatisfied"/>
  </r>
  <r>
    <s v="Female"/>
    <x v="1"/>
    <s v="Singing"/>
    <s v="Unsatisfied"/>
  </r>
  <r>
    <s v="Male"/>
    <x v="0"/>
    <s v="Cricket"/>
    <s v="Unsatisfied"/>
  </r>
  <r>
    <s v="Female"/>
    <x v="2"/>
    <s v="Badminton"/>
    <s v="Satisfi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C00B2-5158-4EB4-AA6D-2C58B8B00BEF}" name="PivotTable5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B5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0"/>
        <item x="1"/>
        <item x="3"/>
        <item x="2"/>
        <item x="5"/>
        <item x="6"/>
        <item x="7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Count of Satisfaction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CACAF-59AE-4139-A7A9-AE1FD8AC459D}" name="PivotTable14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6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ount of Play Status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24" workbookViewId="0">
      <selection activeCell="C35" sqref="C35"/>
    </sheetView>
  </sheetViews>
  <sheetFormatPr defaultRowHeight="15" x14ac:dyDescent="0.25"/>
  <cols>
    <col min="1" max="1" width="17.140625" customWidth="1"/>
    <col min="2" max="2" width="29.140625" customWidth="1"/>
    <col min="3" max="3" width="23.7109375" customWidth="1"/>
    <col min="4" max="4" width="22.28515625" customWidth="1"/>
  </cols>
  <sheetData>
    <row r="1" spans="1:4" ht="22.5" x14ac:dyDescent="0.45">
      <c r="A1" s="3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8</v>
      </c>
      <c r="C4" t="s">
        <v>9</v>
      </c>
      <c r="D4" t="s">
        <v>7</v>
      </c>
    </row>
    <row r="5" spans="1:4" x14ac:dyDescent="0.25">
      <c r="A5" t="s">
        <v>4</v>
      </c>
      <c r="B5" t="s">
        <v>10</v>
      </c>
      <c r="C5" t="s">
        <v>11</v>
      </c>
      <c r="D5" t="s">
        <v>7</v>
      </c>
    </row>
    <row r="6" spans="1:4" x14ac:dyDescent="0.25">
      <c r="A6" t="s">
        <v>4</v>
      </c>
      <c r="B6" t="s">
        <v>5</v>
      </c>
      <c r="C6" t="s">
        <v>9</v>
      </c>
      <c r="D6" t="s">
        <v>7</v>
      </c>
    </row>
    <row r="7" spans="1:4" x14ac:dyDescent="0.25">
      <c r="A7" t="s">
        <v>12</v>
      </c>
      <c r="B7" t="s">
        <v>8</v>
      </c>
      <c r="C7" t="s">
        <v>6</v>
      </c>
      <c r="D7" t="s">
        <v>13</v>
      </c>
    </row>
    <row r="8" spans="1:4" x14ac:dyDescent="0.25">
      <c r="A8" t="s">
        <v>4</v>
      </c>
      <c r="B8" t="s">
        <v>8</v>
      </c>
      <c r="C8" t="s">
        <v>9</v>
      </c>
      <c r="D8" t="s">
        <v>13</v>
      </c>
    </row>
    <row r="9" spans="1:4" x14ac:dyDescent="0.25">
      <c r="A9" t="s">
        <v>4</v>
      </c>
      <c r="B9" t="s">
        <v>5</v>
      </c>
      <c r="C9" t="s">
        <v>9</v>
      </c>
      <c r="D9" t="s">
        <v>13</v>
      </c>
    </row>
    <row r="10" spans="1:4" x14ac:dyDescent="0.25">
      <c r="A10" t="s">
        <v>4</v>
      </c>
      <c r="B10" t="s">
        <v>8</v>
      </c>
      <c r="C10" t="s">
        <v>9</v>
      </c>
      <c r="D10" t="s">
        <v>13</v>
      </c>
    </row>
    <row r="11" spans="1:4" x14ac:dyDescent="0.25">
      <c r="A11" t="s">
        <v>4</v>
      </c>
      <c r="B11" t="s">
        <v>5</v>
      </c>
      <c r="C11" t="s">
        <v>9</v>
      </c>
      <c r="D11" t="s">
        <v>7</v>
      </c>
    </row>
    <row r="12" spans="1:4" x14ac:dyDescent="0.25">
      <c r="A12" t="s">
        <v>4</v>
      </c>
      <c r="B12" t="s">
        <v>5</v>
      </c>
      <c r="C12" t="s">
        <v>9</v>
      </c>
      <c r="D12" t="s">
        <v>7</v>
      </c>
    </row>
    <row r="13" spans="1:4" x14ac:dyDescent="0.25">
      <c r="A13" t="s">
        <v>4</v>
      </c>
      <c r="B13" t="s">
        <v>5</v>
      </c>
      <c r="C13" t="s">
        <v>9</v>
      </c>
      <c r="D13" t="s">
        <v>13</v>
      </c>
    </row>
    <row r="14" spans="1:4" x14ac:dyDescent="0.25">
      <c r="A14" t="s">
        <v>4</v>
      </c>
      <c r="B14" t="s">
        <v>5</v>
      </c>
      <c r="C14" t="s">
        <v>6</v>
      </c>
      <c r="D14" t="s">
        <v>7</v>
      </c>
    </row>
    <row r="15" spans="1:4" x14ac:dyDescent="0.25">
      <c r="A15" t="s">
        <v>4</v>
      </c>
      <c r="B15" t="s">
        <v>5</v>
      </c>
      <c r="C15" t="s">
        <v>9</v>
      </c>
      <c r="D15" t="s">
        <v>7</v>
      </c>
    </row>
    <row r="16" spans="1:4" x14ac:dyDescent="0.25">
      <c r="A16" t="s">
        <v>4</v>
      </c>
      <c r="B16" t="s">
        <v>5</v>
      </c>
      <c r="C16" t="s">
        <v>11</v>
      </c>
      <c r="D16" t="s">
        <v>7</v>
      </c>
    </row>
    <row r="17" spans="1:4" x14ac:dyDescent="0.25">
      <c r="A17" t="s">
        <v>12</v>
      </c>
      <c r="B17" t="s">
        <v>5</v>
      </c>
      <c r="C17" t="s">
        <v>14</v>
      </c>
      <c r="D17" t="s">
        <v>13</v>
      </c>
    </row>
    <row r="18" spans="1:4" x14ac:dyDescent="0.25">
      <c r="A18" t="s">
        <v>4</v>
      </c>
      <c r="B18" t="s">
        <v>8</v>
      </c>
      <c r="C18" t="s">
        <v>9</v>
      </c>
      <c r="D18" t="s">
        <v>7</v>
      </c>
    </row>
    <row r="19" spans="1:4" x14ac:dyDescent="0.25">
      <c r="A19" t="s">
        <v>4</v>
      </c>
      <c r="B19" t="s">
        <v>8</v>
      </c>
      <c r="C19" t="s">
        <v>15</v>
      </c>
      <c r="D19" t="s">
        <v>13</v>
      </c>
    </row>
    <row r="20" spans="1:4" x14ac:dyDescent="0.25">
      <c r="A20" t="s">
        <v>12</v>
      </c>
      <c r="B20" t="s">
        <v>10</v>
      </c>
      <c r="C20" t="s">
        <v>16</v>
      </c>
      <c r="D20" t="s">
        <v>7</v>
      </c>
    </row>
    <row r="21" spans="1:4" x14ac:dyDescent="0.25">
      <c r="A21" t="s">
        <v>12</v>
      </c>
      <c r="B21" t="s">
        <v>8</v>
      </c>
      <c r="C21" t="s">
        <v>9</v>
      </c>
      <c r="D21" t="s">
        <v>7</v>
      </c>
    </row>
    <row r="22" spans="1:4" x14ac:dyDescent="0.25">
      <c r="A22" t="s">
        <v>4</v>
      </c>
      <c r="B22" t="s">
        <v>5</v>
      </c>
      <c r="C22" t="s">
        <v>9</v>
      </c>
      <c r="D22" t="s">
        <v>7</v>
      </c>
    </row>
    <row r="23" spans="1:4" x14ac:dyDescent="0.25">
      <c r="A23" t="s">
        <v>4</v>
      </c>
      <c r="B23" t="s">
        <v>5</v>
      </c>
      <c r="C23" t="s">
        <v>6</v>
      </c>
      <c r="D23" t="s">
        <v>13</v>
      </c>
    </row>
    <row r="24" spans="1:4" x14ac:dyDescent="0.25">
      <c r="A24" t="s">
        <v>12</v>
      </c>
      <c r="B24" t="s">
        <v>8</v>
      </c>
      <c r="C24" t="s">
        <v>9</v>
      </c>
      <c r="D24" t="s">
        <v>7</v>
      </c>
    </row>
    <row r="25" spans="1:4" x14ac:dyDescent="0.25">
      <c r="A25" t="s">
        <v>12</v>
      </c>
      <c r="B25" t="s">
        <v>8</v>
      </c>
      <c r="C25" t="s">
        <v>17</v>
      </c>
      <c r="D25" t="s">
        <v>13</v>
      </c>
    </row>
    <row r="26" spans="1:4" x14ac:dyDescent="0.25">
      <c r="A26" t="s">
        <v>12</v>
      </c>
      <c r="B26" t="s">
        <v>5</v>
      </c>
      <c r="C26" t="s">
        <v>9</v>
      </c>
      <c r="D26" t="s">
        <v>7</v>
      </c>
    </row>
    <row r="27" spans="1:4" x14ac:dyDescent="0.25">
      <c r="A27" t="s">
        <v>12</v>
      </c>
      <c r="B27" t="s">
        <v>10</v>
      </c>
      <c r="C27" t="s">
        <v>17</v>
      </c>
      <c r="D27" t="s">
        <v>13</v>
      </c>
    </row>
    <row r="28" spans="1:4" x14ac:dyDescent="0.25">
      <c r="A28" t="s">
        <v>4</v>
      </c>
      <c r="B28" t="s">
        <v>10</v>
      </c>
      <c r="C28" t="s">
        <v>9</v>
      </c>
      <c r="D28" t="s">
        <v>13</v>
      </c>
    </row>
    <row r="29" spans="1:4" x14ac:dyDescent="0.25">
      <c r="A29" t="s">
        <v>4</v>
      </c>
      <c r="B29" t="s">
        <v>8</v>
      </c>
      <c r="C29" t="s">
        <v>6</v>
      </c>
      <c r="D29" t="s">
        <v>7</v>
      </c>
    </row>
    <row r="30" spans="1:4" x14ac:dyDescent="0.25">
      <c r="A30" t="s">
        <v>12</v>
      </c>
      <c r="B30" t="s">
        <v>8</v>
      </c>
      <c r="C30" t="s">
        <v>6</v>
      </c>
      <c r="D30" t="s">
        <v>7</v>
      </c>
    </row>
    <row r="31" spans="1:4" x14ac:dyDescent="0.25">
      <c r="A31" t="s">
        <v>4</v>
      </c>
      <c r="B31" t="s">
        <v>8</v>
      </c>
      <c r="C31" t="s">
        <v>9</v>
      </c>
      <c r="D31" t="s">
        <v>13</v>
      </c>
    </row>
    <row r="32" spans="1:4" x14ac:dyDescent="0.25">
      <c r="A32" t="s">
        <v>4</v>
      </c>
      <c r="B32" t="s">
        <v>5</v>
      </c>
      <c r="C32" t="s">
        <v>6</v>
      </c>
      <c r="D32" t="s">
        <v>13</v>
      </c>
    </row>
    <row r="33" spans="1:4" x14ac:dyDescent="0.25">
      <c r="A33" t="s">
        <v>12</v>
      </c>
      <c r="B33" t="s">
        <v>8</v>
      </c>
      <c r="C33" t="s">
        <v>18</v>
      </c>
      <c r="D33" t="s">
        <v>13</v>
      </c>
    </row>
    <row r="34" spans="1:4" x14ac:dyDescent="0.25">
      <c r="A34" t="s">
        <v>4</v>
      </c>
      <c r="B34" t="s">
        <v>5</v>
      </c>
      <c r="C34" t="s">
        <v>9</v>
      </c>
      <c r="D34" t="s">
        <v>13</v>
      </c>
    </row>
    <row r="35" spans="1:4" x14ac:dyDescent="0.25">
      <c r="A35" t="s">
        <v>12</v>
      </c>
      <c r="B35" t="s">
        <v>10</v>
      </c>
      <c r="C35" t="s">
        <v>6</v>
      </c>
      <c r="D3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931D-F567-42AE-AB51-D9C889324CE4}">
  <dimension ref="A3:B5"/>
  <sheetViews>
    <sheetView workbookViewId="0">
      <selection activeCell="A3" sqref="A3"/>
    </sheetView>
  </sheetViews>
  <sheetFormatPr defaultRowHeight="15" x14ac:dyDescent="0.25"/>
  <cols>
    <col min="1" max="1" width="13.5703125" bestFit="1" customWidth="1"/>
    <col min="2" max="3" width="19.5703125" bestFit="1" customWidth="1"/>
  </cols>
  <sheetData>
    <row r="3" spans="1:2" x14ac:dyDescent="0.25">
      <c r="A3" s="4" t="s">
        <v>3</v>
      </c>
      <c r="B3" t="s">
        <v>37</v>
      </c>
    </row>
    <row r="4" spans="1:2" x14ac:dyDescent="0.25">
      <c r="A4" t="s">
        <v>7</v>
      </c>
      <c r="B4" s="5">
        <v>19</v>
      </c>
    </row>
    <row r="5" spans="1:2" x14ac:dyDescent="0.25">
      <c r="A5" t="s">
        <v>13</v>
      </c>
      <c r="B5" s="5">
        <v>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20EB-6483-4F15-B93B-DC07163FCAA2}">
  <dimension ref="A3:B6"/>
  <sheetViews>
    <sheetView workbookViewId="0">
      <selection activeCell="B11" sqref="B11"/>
    </sheetView>
  </sheetViews>
  <sheetFormatPr defaultRowHeight="15" x14ac:dyDescent="0.25"/>
  <cols>
    <col min="1" max="1" width="12.85546875" bestFit="1" customWidth="1"/>
    <col min="2" max="2" width="18.85546875" bestFit="1" customWidth="1"/>
  </cols>
  <sheetData>
    <row r="3" spans="1:2" x14ac:dyDescent="0.25">
      <c r="A3" s="4" t="s">
        <v>1</v>
      </c>
      <c r="B3" t="s">
        <v>38</v>
      </c>
    </row>
    <row r="4" spans="1:2" x14ac:dyDescent="0.25">
      <c r="A4" t="s">
        <v>10</v>
      </c>
      <c r="B4" s="5">
        <v>5</v>
      </c>
    </row>
    <row r="5" spans="1:2" x14ac:dyDescent="0.25">
      <c r="A5" t="s">
        <v>8</v>
      </c>
      <c r="B5" s="5">
        <v>13</v>
      </c>
    </row>
    <row r="6" spans="1:2" x14ac:dyDescent="0.25">
      <c r="A6" t="s">
        <v>5</v>
      </c>
      <c r="B6" s="5">
        <v>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9" activeCellId="8" sqref="C2 C3 C4 C5 C6 C8 C7 C10 C9"/>
    </sheetView>
  </sheetViews>
  <sheetFormatPr defaultRowHeight="15" x14ac:dyDescent="0.25"/>
  <cols>
    <col min="1" max="1" width="19" customWidth="1"/>
    <col min="2" max="2" width="50.42578125" customWidth="1"/>
    <col min="3" max="3" width="13" customWidth="1"/>
  </cols>
  <sheetData>
    <row r="1" spans="1:3" ht="22.5" x14ac:dyDescent="0.45">
      <c r="A1" s="1" t="s">
        <v>19</v>
      </c>
      <c r="B1" s="1" t="s">
        <v>20</v>
      </c>
      <c r="C1" s="1" t="s">
        <v>21</v>
      </c>
    </row>
    <row r="2" spans="1:3" x14ac:dyDescent="0.25">
      <c r="A2" t="s">
        <v>22</v>
      </c>
      <c r="B2" t="s">
        <v>23</v>
      </c>
      <c r="C2" s="2">
        <f>COUNTA(Raw_Data!A2:A200)</f>
        <v>34</v>
      </c>
    </row>
    <row r="3" spans="1:3" x14ac:dyDescent="0.25">
      <c r="A3" t="s">
        <v>24</v>
      </c>
      <c r="B3" t="s">
        <v>25</v>
      </c>
      <c r="C3" s="2">
        <f>COUNTIF(Raw_Data!A2:A200,"Male")</f>
        <v>23</v>
      </c>
    </row>
    <row r="4" spans="1:3" x14ac:dyDescent="0.25">
      <c r="A4" t="s">
        <v>26</v>
      </c>
      <c r="B4" t="s">
        <v>27</v>
      </c>
      <c r="C4" s="2">
        <f>COUNTIF(Raw_Data!A2:A200,"Female")</f>
        <v>11</v>
      </c>
    </row>
    <row r="5" spans="1:3" x14ac:dyDescent="0.25">
      <c r="A5" t="s">
        <v>28</v>
      </c>
      <c r="B5" t="s">
        <v>29</v>
      </c>
      <c r="C5" s="2">
        <f>COUNTIF(Raw_Data!B2:B200,"Yes")</f>
        <v>16</v>
      </c>
    </row>
    <row r="6" spans="1:3" x14ac:dyDescent="0.25">
      <c r="A6" t="s">
        <v>30</v>
      </c>
      <c r="B6" t="s">
        <v>31</v>
      </c>
      <c r="C6" s="2">
        <f>COUNTIF(Raw_Data!B2:B200,"Occasionally")</f>
        <v>13</v>
      </c>
    </row>
    <row r="7" spans="1:3" x14ac:dyDescent="0.25">
      <c r="A7" t="s">
        <v>32</v>
      </c>
      <c r="B7" t="s">
        <v>33</v>
      </c>
      <c r="C7" s="2">
        <f>COUNTIF(Raw_Data!B2:B200,"No")</f>
        <v>5</v>
      </c>
    </row>
    <row r="8" spans="1:3" x14ac:dyDescent="0.25">
      <c r="A8" t="s">
        <v>7</v>
      </c>
      <c r="B8" t="s">
        <v>34</v>
      </c>
      <c r="C8" s="2">
        <f>COUNTIF(Raw_Data!D2:D200,"Satisfied")</f>
        <v>19</v>
      </c>
    </row>
    <row r="9" spans="1:3" x14ac:dyDescent="0.25">
      <c r="A9" t="s">
        <v>13</v>
      </c>
      <c r="B9" t="s">
        <v>35</v>
      </c>
      <c r="C9" s="2">
        <f>COUNTIF(Raw_Data!D2:D200,"Unsatisfied")</f>
        <v>15</v>
      </c>
    </row>
    <row r="10" spans="1:3" x14ac:dyDescent="0.25">
      <c r="C1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cols>
    <col min="1" max="1" width="14.85546875" customWidth="1"/>
    <col min="2" max="2" width="12.140625" customWidth="1"/>
  </cols>
  <sheetData>
    <row r="1" spans="1:2" ht="22.5" x14ac:dyDescent="0.45">
      <c r="A1" s="1" t="s">
        <v>0</v>
      </c>
      <c r="B1" s="3" t="s">
        <v>36</v>
      </c>
    </row>
    <row r="2" spans="1:2" x14ac:dyDescent="0.25">
      <c r="A2" t="s">
        <v>4</v>
      </c>
      <c r="B2" s="2">
        <f>Analysis!C3</f>
        <v>23</v>
      </c>
    </row>
    <row r="3" spans="1:2" x14ac:dyDescent="0.25">
      <c r="A3" t="s">
        <v>12</v>
      </c>
      <c r="B3" s="2">
        <f>Analysis!C4</f>
        <v>11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workbookViewId="0"/>
  </sheetViews>
  <sheetFormatPr defaultRowHeight="15" x14ac:dyDescent="0.25"/>
  <cols>
    <col min="1" max="1" width="16.85546875" customWidth="1"/>
    <col min="2" max="2" width="12.5703125" customWidth="1"/>
  </cols>
  <sheetData>
    <row r="1" spans="1:2" ht="22.5" x14ac:dyDescent="0.45">
      <c r="A1" s="1" t="s">
        <v>2</v>
      </c>
      <c r="B1" s="1" t="s">
        <v>36</v>
      </c>
    </row>
    <row r="2" spans="1:2" x14ac:dyDescent="0.25">
      <c r="A2" t="s">
        <v>9</v>
      </c>
      <c r="B2" s="2">
        <f>COUNTIF(Raw_Data!C2:C200,"Cricket")</f>
        <v>17</v>
      </c>
    </row>
    <row r="3" spans="1:2" x14ac:dyDescent="0.25">
      <c r="A3" t="s">
        <v>6</v>
      </c>
      <c r="B3" s="2">
        <f>COUNTIF(Raw_Data!C2:C200,"Badminton")</f>
        <v>9</v>
      </c>
    </row>
    <row r="4" spans="1:2" x14ac:dyDescent="0.25">
      <c r="A4" t="s">
        <v>11</v>
      </c>
      <c r="B4" s="2">
        <f>COUNTIF(Raw_Data!C2:C200,"Football")</f>
        <v>2</v>
      </c>
    </row>
    <row r="5" spans="1:2" x14ac:dyDescent="0.25">
      <c r="A5" t="s">
        <v>16</v>
      </c>
      <c r="B5" s="2">
        <f>COUNTIF(Raw_Data!C2:C200,"Karate")</f>
        <v>1</v>
      </c>
    </row>
    <row r="6" spans="1:2" x14ac:dyDescent="0.25">
      <c r="A6" t="s">
        <v>15</v>
      </c>
      <c r="B6" s="2">
        <f>COUNTIF(Raw_Data!C2:C200,"Soccer")</f>
        <v>1</v>
      </c>
    </row>
    <row r="7" spans="1:2" x14ac:dyDescent="0.25">
      <c r="A7" t="s">
        <v>14</v>
      </c>
      <c r="B7" s="2">
        <f>COUNTIF(Raw_Data!C2:C200,"Everything")</f>
        <v>1</v>
      </c>
    </row>
    <row r="8" spans="1:2" x14ac:dyDescent="0.25">
      <c r="A8" t="s">
        <v>17</v>
      </c>
      <c r="B8" s="2">
        <f>COUNTIF(Raw_Data!C2:C200,"None")</f>
        <v>2</v>
      </c>
    </row>
    <row r="9" spans="1:2" x14ac:dyDescent="0.25">
      <c r="A9" t="s">
        <v>18</v>
      </c>
      <c r="B9" s="2">
        <f>COUNTIF(Raw_Data!C2:C200,"Singing")</f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satification count</vt:lpstr>
      <vt:lpstr>play status</vt:lpstr>
      <vt:lpstr>Analysis</vt:lpstr>
      <vt:lpstr>Gender_Chart</vt:lpstr>
      <vt:lpstr>Sports_Chart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Ahmad Maqsood Ahmad</cp:lastModifiedBy>
  <dcterms:created xsi:type="dcterms:W3CDTF">2025-11-01T10:48:28Z</dcterms:created>
  <dcterms:modified xsi:type="dcterms:W3CDTF">2025-11-18T06:24:08Z</dcterms:modified>
</cp:coreProperties>
</file>